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49D68E-2A6F-4602-9486-1119FC757AA3}" xr6:coauthVersionLast="47" xr6:coauthVersionMax="47" xr10:uidLastSave="{00000000-0000-0000-0000-000000000000}"/>
  <bookViews>
    <workbookView xWindow="-108" yWindow="-108" windowWidth="23256" windowHeight="12456" activeTab="2" xr2:uid="{8FCC579E-7F7C-446E-A055-15DB52FD9E79}"/>
  </bookViews>
  <sheets>
    <sheet name="Sheet1" sheetId="2" r:id="rId1"/>
    <sheet name="Category Targets" sheetId="3" r:id="rId2"/>
    <sheet name="Category Summary" sheetId="4" r:id="rId3"/>
    <sheet name="monthly_category_revenue" sheetId="1" r:id="rId4"/>
  </sheet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2" i="4"/>
  <c r="C7" i="4"/>
  <c r="C6" i="4"/>
  <c r="C5" i="4"/>
  <c r="C4" i="4"/>
  <c r="C3" i="4"/>
  <c r="C2" i="4"/>
  <c r="B6" i="4"/>
  <c r="F6" i="4" s="1"/>
  <c r="B5" i="4"/>
  <c r="F5" i="4" s="1"/>
  <c r="B7" i="4"/>
  <c r="G7" i="4" s="1"/>
  <c r="B4" i="4"/>
  <c r="F4" i="4" s="1"/>
  <c r="B3" i="4"/>
  <c r="F3" i="4" s="1"/>
  <c r="B2" i="4"/>
  <c r="G2" i="4" s="1"/>
  <c r="E3" i="4" l="1"/>
  <c r="G4" i="4"/>
  <c r="G5" i="4"/>
  <c r="E4" i="4"/>
  <c r="E6" i="4"/>
  <c r="E7" i="4"/>
  <c r="G3" i="4"/>
  <c r="G6" i="4"/>
  <c r="E2" i="4"/>
  <c r="F2" i="4"/>
  <c r="E5" i="4"/>
  <c r="F7" i="4"/>
</calcChain>
</file>

<file path=xl/sharedStrings.xml><?xml version="1.0" encoding="utf-8"?>
<sst xmlns="http://schemas.openxmlformats.org/spreadsheetml/2006/main" count="130" uniqueCount="48">
  <si>
    <t>category</t>
  </si>
  <si>
    <t>month</t>
  </si>
  <si>
    <t>order_count</t>
  </si>
  <si>
    <t>total_revenue</t>
  </si>
  <si>
    <t>avg_revenue</t>
  </si>
  <si>
    <t>Bakery</t>
  </si>
  <si>
    <t>2026-01</t>
  </si>
  <si>
    <t>2026-02</t>
  </si>
  <si>
    <t>2026-03</t>
  </si>
  <si>
    <t>280.90909090909093</t>
  </si>
  <si>
    <t>2026-04</t>
  </si>
  <si>
    <t>239.6153846153846</t>
  </si>
  <si>
    <t>2026-05</t>
  </si>
  <si>
    <t>246.33333333333334</t>
  </si>
  <si>
    <t>2026-06</t>
  </si>
  <si>
    <t>166.78571428571428</t>
  </si>
  <si>
    <t>Dairy &amp; Eggs</t>
  </si>
  <si>
    <t>226.11111111111111</t>
  </si>
  <si>
    <t>210.86666666666667</t>
  </si>
  <si>
    <t>183.33333333333334</t>
  </si>
  <si>
    <t>166.1818181818182</t>
  </si>
  <si>
    <t>Fruits &amp; Vegetables</t>
  </si>
  <si>
    <t>160.76923076923077</t>
  </si>
  <si>
    <t>155.83333333333334</t>
  </si>
  <si>
    <t>117.77777777777777</t>
  </si>
  <si>
    <t>Household Essentials</t>
  </si>
  <si>
    <t>304.1666666666667</t>
  </si>
  <si>
    <t>Personal Care</t>
  </si>
  <si>
    <t>300.6666666666667</t>
  </si>
  <si>
    <t>255.1818181818182</t>
  </si>
  <si>
    <t>218.88888888888889</t>
  </si>
  <si>
    <t>234.23076923076923</t>
  </si>
  <si>
    <t>213.46153846153845</t>
  </si>
  <si>
    <t>Snacks &amp; Beverages</t>
  </si>
  <si>
    <t>120.9090909090909</t>
  </si>
  <si>
    <t>111.33333333333333</t>
  </si>
  <si>
    <t>156.8421052631579</t>
  </si>
  <si>
    <t>128.07692307692307</t>
  </si>
  <si>
    <t>130.66666666666666</t>
  </si>
  <si>
    <t>Row Labels</t>
  </si>
  <si>
    <t>Grand Total</t>
  </si>
  <si>
    <t>Sum of total_revenue</t>
  </si>
  <si>
    <t>Sum of order_count</t>
  </si>
  <si>
    <t>target_revenue_inr</t>
  </si>
  <si>
    <t xml:space="preserve"> variance</t>
  </si>
  <si>
    <t>percentage_variance</t>
  </si>
  <si>
    <t>target_status</t>
  </si>
  <si>
    <t>Matches Part 1 SQL total?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</si>
</sst>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/>
    <xf numFmtId="0" fontId="0" fillId="0" borderId="10" xfId="0" quotePrefix="1" applyBorder="1"/>
    <xf numFmtId="0" fontId="16" fillId="33" borderId="10" xfId="0" applyFont="1" applyFill="1" applyBorder="1"/>
    <xf numFmtId="0" fontId="18" fillId="33" borderId="10" xfId="0" applyFont="1" applyFill="1" applyBorder="1"/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[monthly_category_revenue.xlsx]Sheet1!PivotTable1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Bakery</c:v>
                </c:pt>
                <c:pt idx="1">
                  <c:v>Dairy &amp; Eggs</c:v>
                </c:pt>
                <c:pt idx="2">
                  <c:v>Fruits &amp; Vegetables</c:v>
                </c:pt>
                <c:pt idx="3">
                  <c:v>Household Essentials</c:v>
                </c:pt>
                <c:pt idx="4">
                  <c:v>Personal Care</c:v>
                </c:pt>
                <c:pt idx="5">
                  <c:v>Snacks &amp; Beverages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15410</c:v>
                </c:pt>
                <c:pt idx="1">
                  <c:v>14090</c:v>
                </c:pt>
                <c:pt idx="2">
                  <c:v>9790</c:v>
                </c:pt>
                <c:pt idx="3">
                  <c:v>21715</c:v>
                </c:pt>
                <c:pt idx="4">
                  <c:v>16382</c:v>
                </c:pt>
                <c:pt idx="5">
                  <c:v>10895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E-454C-AFD6-818814F4E0A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order_count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Bakery</c:v>
                </c:pt>
                <c:pt idx="1">
                  <c:v>Dairy &amp; Eggs</c:v>
                </c:pt>
                <c:pt idx="2">
                  <c:v>Fruits &amp; Vegetables</c:v>
                </c:pt>
                <c:pt idx="3">
                  <c:v>Household Essentials</c:v>
                </c:pt>
                <c:pt idx="4">
                  <c:v>Personal Care</c:v>
                </c:pt>
                <c:pt idx="5">
                  <c:v>Snacks &amp; Beverages</c:v>
                </c:pt>
              </c:strCache>
            </c:strRef>
          </c:cat>
          <c:val>
            <c:numRef>
              <c:f>Sheet1!$C$4:$C$10</c:f>
              <c:numCache>
                <c:formatCode>General</c:formatCode>
                <c:ptCount val="6"/>
                <c:pt idx="0">
                  <c:v>67</c:v>
                </c:pt>
                <c:pt idx="1">
                  <c:v>66</c:v>
                </c:pt>
                <c:pt idx="2">
                  <c:v>73</c:v>
                </c:pt>
                <c:pt idx="3">
                  <c:v>79</c:v>
                </c:pt>
                <c:pt idx="4">
                  <c:v>66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8E-454C-AFD6-818814F4E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493823"/>
        <c:axId val="1694333423"/>
      </c:barChart>
      <c:catAx>
        <c:axId val="213949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333423"/>
        <c:crosses val="autoZero"/>
        <c:auto val="1"/>
        <c:lblAlgn val="ctr"/>
        <c:lblOffset val="100"/>
        <c:noMultiLvlLbl val="0"/>
      </c:catAx>
      <c:valAx>
        <c:axId val="16943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9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3</xdr:row>
      <xdr:rowOff>171450</xdr:rowOff>
    </xdr:from>
    <xdr:to>
      <xdr:col>11</xdr:col>
      <xdr:colOff>403860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325176-5191-DC60-8DCA-74ABE5D3A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12</xdr:row>
      <xdr:rowOff>0</xdr:rowOff>
    </xdr:from>
    <xdr:to>
      <xdr:col>26</xdr:col>
      <xdr:colOff>229571</xdr:colOff>
      <xdr:row>43</xdr:row>
      <xdr:rowOff>160525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2915B1-B6D1-8C5A-5274-0145DB10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8120" y="2194560"/>
          <a:ext cx="11202371" cy="582980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3.315974074074" createdVersion="8" refreshedVersion="8" minRefreshableVersion="3" recordCount="37" xr:uid="{C49FCEB5-EAAB-4E9F-8375-5E70BEDE9121}">
  <cacheSource type="worksheet">
    <worksheetSource ref="A1:E1048576" sheet="monthly_category_revenue"/>
  </cacheSource>
  <cacheFields count="5">
    <cacheField name="category" numFmtId="0">
      <sharedItems containsBlank="1" count="7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0">
      <sharedItems containsBlank="1"/>
    </cacheField>
    <cacheField name="order_count" numFmtId="0">
      <sharedItems containsString="0" containsBlank="1" containsNumber="1" containsInteger="1" minValue="6" maxValue="19"/>
    </cacheField>
    <cacheField name="total_revenue" numFmtId="0">
      <sharedItems containsString="0" containsBlank="1" containsNumber="1" containsInteger="1" minValue="735" maxValue="5491"/>
    </cacheField>
    <cacheField name="avg_revenue" numFmtId="0">
      <sharedItems containsBlank="1" containsMixedTypes="1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s v="2026-01"/>
    <n v="6"/>
    <n v="735"/>
    <n v="122.5"/>
  </r>
  <r>
    <x v="0"/>
    <s v="2026-02"/>
    <n v="8"/>
    <n v="2440"/>
    <n v="305"/>
  </r>
  <r>
    <x v="0"/>
    <s v="2026-03"/>
    <n v="11"/>
    <n v="3090"/>
    <s v="280.90909090909093"/>
  </r>
  <r>
    <x v="0"/>
    <s v="2026-04"/>
    <n v="13"/>
    <n v="3115"/>
    <s v="239.6153846153846"/>
  </r>
  <r>
    <x v="0"/>
    <s v="2026-05"/>
    <n v="15"/>
    <n v="3695"/>
    <s v="246.33333333333334"/>
  </r>
  <r>
    <x v="0"/>
    <s v="2026-06"/>
    <n v="14"/>
    <n v="2335"/>
    <s v="166.78571428571428"/>
  </r>
  <r>
    <x v="1"/>
    <s v="2026-01"/>
    <n v="9"/>
    <n v="2035"/>
    <s v="226.11111111111111"/>
  </r>
  <r>
    <x v="1"/>
    <s v="2026-02"/>
    <n v="8"/>
    <n v="1935"/>
    <n v="241.875"/>
  </r>
  <r>
    <x v="1"/>
    <s v="2026-03"/>
    <n v="15"/>
    <n v="3163"/>
    <s v="210.86666666666667"/>
  </r>
  <r>
    <x v="1"/>
    <s v="2026-04"/>
    <n v="9"/>
    <n v="1650"/>
    <s v="183.33333333333334"/>
  </r>
  <r>
    <x v="1"/>
    <s v="2026-05"/>
    <n v="14"/>
    <n v="3479"/>
    <n v="248.5"/>
  </r>
  <r>
    <x v="1"/>
    <s v="2026-06"/>
    <n v="11"/>
    <n v="1828"/>
    <s v="166.1818181818182"/>
  </r>
  <r>
    <x v="2"/>
    <s v="2026-01"/>
    <n v="12"/>
    <n v="1290"/>
    <n v="107.5"/>
  </r>
  <r>
    <x v="2"/>
    <s v="2026-02"/>
    <n v="13"/>
    <n v="2090"/>
    <s v="160.76923076923077"/>
  </r>
  <r>
    <x v="2"/>
    <s v="2026-03"/>
    <n v="13"/>
    <n v="2080"/>
    <n v="160"/>
  </r>
  <r>
    <x v="2"/>
    <s v="2026-04"/>
    <n v="14"/>
    <n v="1400"/>
    <n v="100"/>
  </r>
  <r>
    <x v="2"/>
    <s v="2026-05"/>
    <n v="12"/>
    <n v="1870"/>
    <s v="155.83333333333334"/>
  </r>
  <r>
    <x v="2"/>
    <s v="2026-06"/>
    <n v="9"/>
    <n v="1060"/>
    <s v="117.77777777777777"/>
  </r>
  <r>
    <x v="3"/>
    <s v="2026-01"/>
    <n v="10"/>
    <n v="2099"/>
    <n v="209.9"/>
  </r>
  <r>
    <x v="3"/>
    <s v="2026-02"/>
    <n v="16"/>
    <n v="5113"/>
    <n v="319.5625"/>
  </r>
  <r>
    <x v="3"/>
    <s v="2026-03"/>
    <n v="8"/>
    <n v="1885"/>
    <n v="235.625"/>
  </r>
  <r>
    <x v="3"/>
    <s v="2026-04"/>
    <n v="17"/>
    <n v="5491"/>
    <n v="323"/>
  </r>
  <r>
    <x v="3"/>
    <s v="2026-05"/>
    <n v="16"/>
    <n v="3477"/>
    <n v="217.3125"/>
  </r>
  <r>
    <x v="3"/>
    <s v="2026-06"/>
    <n v="12"/>
    <n v="3650"/>
    <s v="304.1666666666667"/>
  </r>
  <r>
    <x v="4"/>
    <s v="2026-01"/>
    <n v="12"/>
    <n v="3608"/>
    <s v="300.6666666666667"/>
  </r>
  <r>
    <x v="4"/>
    <s v="2026-02"/>
    <n v="8"/>
    <n v="2177"/>
    <n v="272.125"/>
  </r>
  <r>
    <x v="4"/>
    <s v="2026-03"/>
    <n v="11"/>
    <n v="2807"/>
    <s v="255.1818181818182"/>
  </r>
  <r>
    <x v="4"/>
    <s v="2026-04"/>
    <n v="9"/>
    <n v="1970"/>
    <s v="218.88888888888889"/>
  </r>
  <r>
    <x v="4"/>
    <s v="2026-05"/>
    <n v="13"/>
    <n v="3045"/>
    <s v="234.23076923076923"/>
  </r>
  <r>
    <x v="4"/>
    <s v="2026-06"/>
    <n v="13"/>
    <n v="2775"/>
    <s v="213.46153846153845"/>
  </r>
  <r>
    <x v="5"/>
    <s v="2026-01"/>
    <n v="10"/>
    <n v="1290"/>
    <n v="129"/>
  </r>
  <r>
    <x v="5"/>
    <s v="2026-02"/>
    <n v="11"/>
    <n v="1330"/>
    <s v="120.9090909090909"/>
  </r>
  <r>
    <x v="5"/>
    <s v="2026-03"/>
    <n v="15"/>
    <n v="1670"/>
    <s v="111.33333333333333"/>
  </r>
  <r>
    <x v="5"/>
    <s v="2026-04"/>
    <n v="19"/>
    <n v="2980"/>
    <s v="156.8421052631579"/>
  </r>
  <r>
    <x v="5"/>
    <s v="2026-05"/>
    <n v="13"/>
    <n v="1665"/>
    <s v="128.07692307692307"/>
  </r>
  <r>
    <x v="5"/>
    <s v="2026-06"/>
    <n v="15"/>
    <n v="1960"/>
    <s v="130.66666666666666"/>
  </r>
  <r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B998D-A44F-4708-96EB-0EF7B8FCED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0" firstHeaderRow="0" firstDataRow="1" firstDataCol="1"/>
  <pivotFields count="5"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order_count" fld="2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F47D-E3FF-430A-B885-AF95D05D0215}">
  <dimension ref="A3:C10"/>
  <sheetViews>
    <sheetView workbookViewId="0">
      <selection activeCell="N8" sqref="N8"/>
    </sheetView>
  </sheetViews>
  <sheetFormatPr defaultRowHeight="14.4"/>
  <cols>
    <col min="1" max="1" width="18.33203125" bestFit="1" customWidth="1"/>
    <col min="2" max="2" width="18.44140625" bestFit="1" customWidth="1"/>
    <col min="3" max="3" width="17" bestFit="1" customWidth="1"/>
  </cols>
  <sheetData>
    <row r="3" spans="1:3">
      <c r="A3" s="1" t="s">
        <v>39</v>
      </c>
      <c r="B3" t="s">
        <v>41</v>
      </c>
      <c r="C3" t="s">
        <v>42</v>
      </c>
    </row>
    <row r="4" spans="1:3">
      <c r="A4" s="2" t="s">
        <v>5</v>
      </c>
      <c r="B4">
        <v>15410</v>
      </c>
      <c r="C4">
        <v>67</v>
      </c>
    </row>
    <row r="5" spans="1:3">
      <c r="A5" s="2" t="s">
        <v>16</v>
      </c>
      <c r="B5">
        <v>14090</v>
      </c>
      <c r="C5">
        <v>66</v>
      </c>
    </row>
    <row r="6" spans="1:3">
      <c r="A6" s="2" t="s">
        <v>21</v>
      </c>
      <c r="B6">
        <v>9790</v>
      </c>
      <c r="C6">
        <v>73</v>
      </c>
    </row>
    <row r="7" spans="1:3">
      <c r="A7" s="2" t="s">
        <v>25</v>
      </c>
      <c r="B7">
        <v>21715</v>
      </c>
      <c r="C7">
        <v>79</v>
      </c>
    </row>
    <row r="8" spans="1:3">
      <c r="A8" s="2" t="s">
        <v>27</v>
      </c>
      <c r="B8">
        <v>16382</v>
      </c>
      <c r="C8">
        <v>66</v>
      </c>
    </row>
    <row r="9" spans="1:3">
      <c r="A9" s="2" t="s">
        <v>33</v>
      </c>
      <c r="B9">
        <v>10895</v>
      </c>
      <c r="C9">
        <v>83</v>
      </c>
    </row>
    <row r="10" spans="1:3">
      <c r="A10" s="2" t="s">
        <v>40</v>
      </c>
      <c r="B10">
        <v>88282</v>
      </c>
      <c r="C10">
        <v>434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DB62-A490-4A03-8D27-36B08394F6FE}">
  <dimension ref="A1:B7"/>
  <sheetViews>
    <sheetView workbookViewId="0">
      <selection activeCell="G7" sqref="G7"/>
    </sheetView>
  </sheetViews>
  <sheetFormatPr defaultRowHeight="14.4"/>
  <cols>
    <col min="1" max="1" width="18.33203125" bestFit="1" customWidth="1"/>
    <col min="2" max="2" width="16.33203125" bestFit="1" customWidth="1"/>
  </cols>
  <sheetData>
    <row r="1" spans="1:2">
      <c r="A1" s="9" t="s">
        <v>0</v>
      </c>
      <c r="B1" s="10" t="s">
        <v>43</v>
      </c>
    </row>
    <row r="2" spans="1:2">
      <c r="A2" s="3" t="s">
        <v>21</v>
      </c>
      <c r="B2" s="4">
        <v>12000</v>
      </c>
    </row>
    <row r="3" spans="1:2">
      <c r="A3" s="3" t="s">
        <v>16</v>
      </c>
      <c r="B3" s="4">
        <v>16500</v>
      </c>
    </row>
    <row r="4" spans="1:2">
      <c r="A4" s="3" t="s">
        <v>33</v>
      </c>
      <c r="B4" s="4">
        <v>13000</v>
      </c>
    </row>
    <row r="5" spans="1:2">
      <c r="A5" s="3" t="s">
        <v>27</v>
      </c>
      <c r="B5" s="4">
        <v>15500</v>
      </c>
    </row>
    <row r="6" spans="1:2">
      <c r="A6" s="3" t="s">
        <v>25</v>
      </c>
      <c r="B6" s="4">
        <v>17000</v>
      </c>
    </row>
    <row r="7" spans="1:2">
      <c r="A7" s="3" t="s">
        <v>5</v>
      </c>
      <c r="B7" s="4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498F-5589-404B-A641-87E0D52FFEA4}">
  <dimension ref="A1:G7"/>
  <sheetViews>
    <sheetView tabSelected="1" workbookViewId="0">
      <selection activeCell="J5" sqref="J5"/>
    </sheetView>
  </sheetViews>
  <sheetFormatPr defaultRowHeight="14.4"/>
  <cols>
    <col min="1" max="1" width="18.33203125" bestFit="1" customWidth="1"/>
    <col min="2" max="2" width="11.77734375" bestFit="1" customWidth="1"/>
    <col min="3" max="3" width="15.88671875" bestFit="1" customWidth="1"/>
    <col min="4" max="4" width="8.21875" bestFit="1" customWidth="1"/>
    <col min="5" max="5" width="18" bestFit="1" customWidth="1"/>
    <col min="6" max="6" width="11.33203125" bestFit="1" customWidth="1"/>
    <col min="7" max="7" width="21.5546875" bestFit="1" customWidth="1"/>
  </cols>
  <sheetData>
    <row r="1" spans="1:7">
      <c r="A1" s="8" t="s">
        <v>0</v>
      </c>
      <c r="B1" s="7" t="s">
        <v>3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</row>
    <row r="2" spans="1:7">
      <c r="A2" s="5" t="s">
        <v>21</v>
      </c>
      <c r="B2" s="5">
        <f>Sheet1!B6</f>
        <v>9790</v>
      </c>
      <c r="C2" s="5">
        <f>_xlfn.XLOOKUP(A2,'Category Targets'!A:A,'Category Targets'!B:B,"Not Found")</f>
        <v>12000</v>
      </c>
      <c r="D2" s="5">
        <f>B2-C2</f>
        <v>-2210</v>
      </c>
      <c r="E2" s="5">
        <f t="shared" ref="E2:E7" si="0">((B2-C2)/C2)*100</f>
        <v>-18.416666666666668</v>
      </c>
      <c r="F2" s="5" t="str">
        <f>IF(B2&gt;=C2,"Above Target",IF((C2-B2)/C2&lt;=15%,"Below Target - Watch","Below Target - Critical"))</f>
        <v>Below Target - Critical</v>
      </c>
      <c r="G2" s="5" t="str">
        <f>IF(B2=9790,"Yes","No")</f>
        <v>Yes</v>
      </c>
    </row>
    <row r="3" spans="1:7">
      <c r="A3" s="5" t="s">
        <v>16</v>
      </c>
      <c r="B3" s="5">
        <f>Sheet1!B5</f>
        <v>14090</v>
      </c>
      <c r="C3" s="5">
        <f>_xlfn.XLOOKUP(A3,'Category Targets'!A:A,'Category Targets'!B:B,"Not Found")</f>
        <v>16500</v>
      </c>
      <c r="D3" s="5">
        <f t="shared" ref="D3:D7" si="1">B3-C3</f>
        <v>-2410</v>
      </c>
      <c r="E3" s="5">
        <f t="shared" si="0"/>
        <v>-14.606060606060606</v>
      </c>
      <c r="F3" s="5" t="str">
        <f t="shared" ref="F3:F7" si="2">IF(B3&gt;=C3,"Above Target",IF((C3-B3)/C3&lt;=15%,"Below Target - Watch","Below Target - Critical"))</f>
        <v>Below Target - Watch</v>
      </c>
      <c r="G3" s="5" t="str">
        <f>IF(B3=14090,"Yes","No")</f>
        <v>Yes</v>
      </c>
    </row>
    <row r="4" spans="1:7">
      <c r="A4" s="5" t="s">
        <v>33</v>
      </c>
      <c r="B4" s="5">
        <f>Sheet1!B9</f>
        <v>10895</v>
      </c>
      <c r="C4" s="5">
        <f>_xlfn.XLOOKUP(A4,'Category Targets'!A:A,'Category Targets'!B:B,"Not Found")</f>
        <v>13000</v>
      </c>
      <c r="D4" s="5">
        <f t="shared" si="1"/>
        <v>-2105</v>
      </c>
      <c r="E4" s="5">
        <f t="shared" si="0"/>
        <v>-16.192307692307693</v>
      </c>
      <c r="F4" s="5" t="str">
        <f t="shared" si="2"/>
        <v>Below Target - Critical</v>
      </c>
      <c r="G4" s="5" t="str">
        <f>IF(B4=10895,"Yes","No")</f>
        <v>Yes</v>
      </c>
    </row>
    <row r="5" spans="1:7">
      <c r="A5" s="5" t="s">
        <v>27</v>
      </c>
      <c r="B5" s="5">
        <f>Sheet1!B8</f>
        <v>16382</v>
      </c>
      <c r="C5" s="5">
        <f>_xlfn.XLOOKUP(A5,'Category Targets'!A:A,'Category Targets'!B:B,"Not Found")</f>
        <v>15500</v>
      </c>
      <c r="D5" s="5">
        <f t="shared" si="1"/>
        <v>882</v>
      </c>
      <c r="E5" s="5">
        <f t="shared" si="0"/>
        <v>5.6903225806451614</v>
      </c>
      <c r="F5" s="5" t="str">
        <f t="shared" si="2"/>
        <v>Above Target</v>
      </c>
      <c r="G5" s="5" t="str">
        <f>IF(B5=16382,"Yes","No")</f>
        <v>Yes</v>
      </c>
    </row>
    <row r="6" spans="1:7">
      <c r="A6" s="5" t="s">
        <v>25</v>
      </c>
      <c r="B6" s="5">
        <f>Sheet1!B7</f>
        <v>21715</v>
      </c>
      <c r="C6" s="5">
        <f>_xlfn.XLOOKUP(A6,'Category Targets'!A:A,'Category Targets'!B:B,"Not Found")</f>
        <v>17000</v>
      </c>
      <c r="D6" s="5">
        <f t="shared" si="1"/>
        <v>4715</v>
      </c>
      <c r="E6" s="5">
        <f t="shared" si="0"/>
        <v>27.735294117647058</v>
      </c>
      <c r="F6" s="5" t="str">
        <f t="shared" si="2"/>
        <v>Above Target</v>
      </c>
      <c r="G6" s="5" t="str">
        <f>IF(B6=21715,"Yes","No")</f>
        <v>Yes</v>
      </c>
    </row>
    <row r="7" spans="1:7">
      <c r="A7" s="5" t="s">
        <v>5</v>
      </c>
      <c r="B7" s="5">
        <f>Sheet1!B4</f>
        <v>15410</v>
      </c>
      <c r="C7" s="5">
        <f>_xlfn.XLOOKUP(A7,'Category Targets'!A:A,'Category Targets'!B:B,"Not Found")</f>
        <v>12000</v>
      </c>
      <c r="D7" s="5">
        <f t="shared" si="1"/>
        <v>3410</v>
      </c>
      <c r="E7" s="5">
        <f t="shared" si="0"/>
        <v>28.416666666666668</v>
      </c>
      <c r="F7" s="5" t="str">
        <f t="shared" si="2"/>
        <v>Above Target</v>
      </c>
      <c r="G7" s="5" t="str">
        <f>IF(B7=15410,"Yes","No")</f>
        <v>Yes</v>
      </c>
    </row>
  </sheetData>
  <conditionalFormatting sqref="F2:F7">
    <cfRule type="containsText" dxfId="2" priority="1" operator="containsText" text="Below Target - Critical">
      <formula>NOT(ISERROR(SEARCH("Below Target - Critical",F2)))</formula>
    </cfRule>
    <cfRule type="containsText" dxfId="1" priority="2" operator="containsText" text="Below Target - Watch">
      <formula>NOT(ISERROR(SEARCH("Below Target - Watch",F2)))</formula>
    </cfRule>
    <cfRule type="containsText" dxfId="0" priority="3" operator="containsText" text="Above Target">
      <formula>NOT(ISERROR(SEARCH("Above Target",F2)))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4544-8187-4DAA-8FFD-AA19BCEA6138}">
  <dimension ref="A1:E37"/>
  <sheetViews>
    <sheetView workbookViewId="0">
      <selection activeCell="Q9" sqref="Q9"/>
    </sheetView>
  </sheetViews>
  <sheetFormatPr defaultRowHeight="14.4"/>
  <cols>
    <col min="1" max="1" width="18.33203125" bestFit="1" customWidth="1"/>
    <col min="2" max="2" width="7.6640625" bestFit="1" customWidth="1"/>
    <col min="3" max="3" width="10.6640625" bestFit="1" customWidth="1"/>
    <col min="4" max="4" width="11.77734375" bestFit="1" customWidth="1"/>
    <col min="5" max="5" width="18.77734375" bestFit="1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5" t="s">
        <v>5</v>
      </c>
      <c r="B2" s="5" t="s">
        <v>6</v>
      </c>
      <c r="C2" s="5">
        <v>6</v>
      </c>
      <c r="D2" s="5">
        <v>735</v>
      </c>
      <c r="E2" s="5">
        <v>122.5</v>
      </c>
    </row>
    <row r="3" spans="1:5">
      <c r="A3" s="5" t="s">
        <v>5</v>
      </c>
      <c r="B3" s="5" t="s">
        <v>7</v>
      </c>
      <c r="C3" s="5">
        <v>8</v>
      </c>
      <c r="D3" s="5">
        <v>2440</v>
      </c>
      <c r="E3" s="5">
        <v>305</v>
      </c>
    </row>
    <row r="4" spans="1:5">
      <c r="A4" s="5" t="s">
        <v>5</v>
      </c>
      <c r="B4" s="5" t="s">
        <v>8</v>
      </c>
      <c r="C4" s="5">
        <v>11</v>
      </c>
      <c r="D4" s="5">
        <v>3090</v>
      </c>
      <c r="E4" s="6" t="s">
        <v>9</v>
      </c>
    </row>
    <row r="5" spans="1:5">
      <c r="A5" s="5" t="s">
        <v>5</v>
      </c>
      <c r="B5" s="5" t="s">
        <v>10</v>
      </c>
      <c r="C5" s="5">
        <v>13</v>
      </c>
      <c r="D5" s="5">
        <v>3115</v>
      </c>
      <c r="E5" s="6" t="s">
        <v>11</v>
      </c>
    </row>
    <row r="6" spans="1:5">
      <c r="A6" s="5" t="s">
        <v>5</v>
      </c>
      <c r="B6" s="5" t="s">
        <v>12</v>
      </c>
      <c r="C6" s="5">
        <v>15</v>
      </c>
      <c r="D6" s="5">
        <v>3695</v>
      </c>
      <c r="E6" s="6" t="s">
        <v>13</v>
      </c>
    </row>
    <row r="7" spans="1:5">
      <c r="A7" s="5" t="s">
        <v>5</v>
      </c>
      <c r="B7" s="5" t="s">
        <v>14</v>
      </c>
      <c r="C7" s="5">
        <v>14</v>
      </c>
      <c r="D7" s="5">
        <v>2335</v>
      </c>
      <c r="E7" s="6" t="s">
        <v>15</v>
      </c>
    </row>
    <row r="8" spans="1:5">
      <c r="A8" s="5" t="s">
        <v>16</v>
      </c>
      <c r="B8" s="5" t="s">
        <v>6</v>
      </c>
      <c r="C8" s="5">
        <v>9</v>
      </c>
      <c r="D8" s="5">
        <v>2035</v>
      </c>
      <c r="E8" s="6" t="s">
        <v>17</v>
      </c>
    </row>
    <row r="9" spans="1:5">
      <c r="A9" s="5" t="s">
        <v>16</v>
      </c>
      <c r="B9" s="5" t="s">
        <v>7</v>
      </c>
      <c r="C9" s="5">
        <v>8</v>
      </c>
      <c r="D9" s="5">
        <v>1935</v>
      </c>
      <c r="E9" s="5">
        <v>241.875</v>
      </c>
    </row>
    <row r="10" spans="1:5">
      <c r="A10" s="5" t="s">
        <v>16</v>
      </c>
      <c r="B10" s="5" t="s">
        <v>8</v>
      </c>
      <c r="C10" s="5">
        <v>15</v>
      </c>
      <c r="D10" s="5">
        <v>3163</v>
      </c>
      <c r="E10" s="6" t="s">
        <v>18</v>
      </c>
    </row>
    <row r="11" spans="1:5">
      <c r="A11" s="5" t="s">
        <v>16</v>
      </c>
      <c r="B11" s="5" t="s">
        <v>10</v>
      </c>
      <c r="C11" s="5">
        <v>9</v>
      </c>
      <c r="D11" s="5">
        <v>1650</v>
      </c>
      <c r="E11" s="6" t="s">
        <v>19</v>
      </c>
    </row>
    <row r="12" spans="1:5">
      <c r="A12" s="5" t="s">
        <v>16</v>
      </c>
      <c r="B12" s="5" t="s">
        <v>12</v>
      </c>
      <c r="C12" s="5">
        <v>14</v>
      </c>
      <c r="D12" s="5">
        <v>3479</v>
      </c>
      <c r="E12" s="5">
        <v>248.5</v>
      </c>
    </row>
    <row r="13" spans="1:5">
      <c r="A13" s="5" t="s">
        <v>16</v>
      </c>
      <c r="B13" s="5" t="s">
        <v>14</v>
      </c>
      <c r="C13" s="5">
        <v>11</v>
      </c>
      <c r="D13" s="5">
        <v>1828</v>
      </c>
      <c r="E13" s="6" t="s">
        <v>20</v>
      </c>
    </row>
    <row r="14" spans="1:5">
      <c r="A14" s="5" t="s">
        <v>21</v>
      </c>
      <c r="B14" s="5" t="s">
        <v>6</v>
      </c>
      <c r="C14" s="5">
        <v>12</v>
      </c>
      <c r="D14" s="5">
        <v>1290</v>
      </c>
      <c r="E14" s="5">
        <v>107.5</v>
      </c>
    </row>
    <row r="15" spans="1:5">
      <c r="A15" s="5" t="s">
        <v>21</v>
      </c>
      <c r="B15" s="5" t="s">
        <v>7</v>
      </c>
      <c r="C15" s="5">
        <v>13</v>
      </c>
      <c r="D15" s="5">
        <v>2090</v>
      </c>
      <c r="E15" s="6" t="s">
        <v>22</v>
      </c>
    </row>
    <row r="16" spans="1:5">
      <c r="A16" s="5" t="s">
        <v>21</v>
      </c>
      <c r="B16" s="5" t="s">
        <v>8</v>
      </c>
      <c r="C16" s="5">
        <v>13</v>
      </c>
      <c r="D16" s="5">
        <v>2080</v>
      </c>
      <c r="E16" s="5">
        <v>160</v>
      </c>
    </row>
    <row r="17" spans="1:5">
      <c r="A17" s="5" t="s">
        <v>21</v>
      </c>
      <c r="B17" s="5" t="s">
        <v>10</v>
      </c>
      <c r="C17" s="5">
        <v>14</v>
      </c>
      <c r="D17" s="5">
        <v>1400</v>
      </c>
      <c r="E17" s="5">
        <v>100</v>
      </c>
    </row>
    <row r="18" spans="1:5">
      <c r="A18" s="5" t="s">
        <v>21</v>
      </c>
      <c r="B18" s="5" t="s">
        <v>12</v>
      </c>
      <c r="C18" s="5">
        <v>12</v>
      </c>
      <c r="D18" s="5">
        <v>1870</v>
      </c>
      <c r="E18" s="6" t="s">
        <v>23</v>
      </c>
    </row>
    <row r="19" spans="1:5">
      <c r="A19" s="5" t="s">
        <v>21</v>
      </c>
      <c r="B19" s="5" t="s">
        <v>14</v>
      </c>
      <c r="C19" s="5">
        <v>9</v>
      </c>
      <c r="D19" s="5">
        <v>1060</v>
      </c>
      <c r="E19" s="6" t="s">
        <v>24</v>
      </c>
    </row>
    <row r="20" spans="1:5">
      <c r="A20" s="5" t="s">
        <v>25</v>
      </c>
      <c r="B20" s="5" t="s">
        <v>6</v>
      </c>
      <c r="C20" s="5">
        <v>10</v>
      </c>
      <c r="D20" s="5">
        <v>2099</v>
      </c>
      <c r="E20" s="5">
        <v>209.9</v>
      </c>
    </row>
    <row r="21" spans="1:5">
      <c r="A21" s="5" t="s">
        <v>25</v>
      </c>
      <c r="B21" s="5" t="s">
        <v>7</v>
      </c>
      <c r="C21" s="5">
        <v>16</v>
      </c>
      <c r="D21" s="5">
        <v>5113</v>
      </c>
      <c r="E21" s="5">
        <v>319.5625</v>
      </c>
    </row>
    <row r="22" spans="1:5">
      <c r="A22" s="5" t="s">
        <v>25</v>
      </c>
      <c r="B22" s="5" t="s">
        <v>8</v>
      </c>
      <c r="C22" s="5">
        <v>8</v>
      </c>
      <c r="D22" s="5">
        <v>1885</v>
      </c>
      <c r="E22" s="5">
        <v>235.625</v>
      </c>
    </row>
    <row r="23" spans="1:5">
      <c r="A23" s="5" t="s">
        <v>25</v>
      </c>
      <c r="B23" s="5" t="s">
        <v>10</v>
      </c>
      <c r="C23" s="5">
        <v>17</v>
      </c>
      <c r="D23" s="5">
        <v>5491</v>
      </c>
      <c r="E23" s="5">
        <v>323</v>
      </c>
    </row>
    <row r="24" spans="1:5">
      <c r="A24" s="5" t="s">
        <v>25</v>
      </c>
      <c r="B24" s="5" t="s">
        <v>12</v>
      </c>
      <c r="C24" s="5">
        <v>16</v>
      </c>
      <c r="D24" s="5">
        <v>3477</v>
      </c>
      <c r="E24" s="5">
        <v>217.3125</v>
      </c>
    </row>
    <row r="25" spans="1:5">
      <c r="A25" s="5" t="s">
        <v>25</v>
      </c>
      <c r="B25" s="5" t="s">
        <v>14</v>
      </c>
      <c r="C25" s="5">
        <v>12</v>
      </c>
      <c r="D25" s="5">
        <v>3650</v>
      </c>
      <c r="E25" s="6" t="s">
        <v>26</v>
      </c>
    </row>
    <row r="26" spans="1:5">
      <c r="A26" s="5" t="s">
        <v>27</v>
      </c>
      <c r="B26" s="5" t="s">
        <v>6</v>
      </c>
      <c r="C26" s="5">
        <v>12</v>
      </c>
      <c r="D26" s="5">
        <v>3608</v>
      </c>
      <c r="E26" s="6" t="s">
        <v>28</v>
      </c>
    </row>
    <row r="27" spans="1:5">
      <c r="A27" s="5" t="s">
        <v>27</v>
      </c>
      <c r="B27" s="5" t="s">
        <v>7</v>
      </c>
      <c r="C27" s="5">
        <v>8</v>
      </c>
      <c r="D27" s="5">
        <v>2177</v>
      </c>
      <c r="E27" s="5">
        <v>272.125</v>
      </c>
    </row>
    <row r="28" spans="1:5">
      <c r="A28" s="5" t="s">
        <v>27</v>
      </c>
      <c r="B28" s="5" t="s">
        <v>8</v>
      </c>
      <c r="C28" s="5">
        <v>11</v>
      </c>
      <c r="D28" s="5">
        <v>2807</v>
      </c>
      <c r="E28" s="6" t="s">
        <v>29</v>
      </c>
    </row>
    <row r="29" spans="1:5">
      <c r="A29" s="5" t="s">
        <v>27</v>
      </c>
      <c r="B29" s="5" t="s">
        <v>10</v>
      </c>
      <c r="C29" s="5">
        <v>9</v>
      </c>
      <c r="D29" s="5">
        <v>1970</v>
      </c>
      <c r="E29" s="6" t="s">
        <v>30</v>
      </c>
    </row>
    <row r="30" spans="1:5">
      <c r="A30" s="5" t="s">
        <v>27</v>
      </c>
      <c r="B30" s="5" t="s">
        <v>12</v>
      </c>
      <c r="C30" s="5">
        <v>13</v>
      </c>
      <c r="D30" s="5">
        <v>3045</v>
      </c>
      <c r="E30" s="6" t="s">
        <v>31</v>
      </c>
    </row>
    <row r="31" spans="1:5">
      <c r="A31" s="5" t="s">
        <v>27</v>
      </c>
      <c r="B31" s="5" t="s">
        <v>14</v>
      </c>
      <c r="C31" s="5">
        <v>13</v>
      </c>
      <c r="D31" s="5">
        <v>2775</v>
      </c>
      <c r="E31" s="6" t="s">
        <v>32</v>
      </c>
    </row>
    <row r="32" spans="1:5">
      <c r="A32" s="5" t="s">
        <v>33</v>
      </c>
      <c r="B32" s="5" t="s">
        <v>6</v>
      </c>
      <c r="C32" s="5">
        <v>10</v>
      </c>
      <c r="D32" s="5">
        <v>1290</v>
      </c>
      <c r="E32" s="5">
        <v>129</v>
      </c>
    </row>
    <row r="33" spans="1:5">
      <c r="A33" s="5" t="s">
        <v>33</v>
      </c>
      <c r="B33" s="5" t="s">
        <v>7</v>
      </c>
      <c r="C33" s="5">
        <v>11</v>
      </c>
      <c r="D33" s="5">
        <v>1330</v>
      </c>
      <c r="E33" s="6" t="s">
        <v>34</v>
      </c>
    </row>
    <row r="34" spans="1:5">
      <c r="A34" s="5" t="s">
        <v>33</v>
      </c>
      <c r="B34" s="5" t="s">
        <v>8</v>
      </c>
      <c r="C34" s="5">
        <v>15</v>
      </c>
      <c r="D34" s="5">
        <v>1670</v>
      </c>
      <c r="E34" s="6" t="s">
        <v>35</v>
      </c>
    </row>
    <row r="35" spans="1:5">
      <c r="A35" s="5" t="s">
        <v>33</v>
      </c>
      <c r="B35" s="5" t="s">
        <v>10</v>
      </c>
      <c r="C35" s="5">
        <v>19</v>
      </c>
      <c r="D35" s="5">
        <v>2980</v>
      </c>
      <c r="E35" s="6" t="s">
        <v>36</v>
      </c>
    </row>
    <row r="36" spans="1:5">
      <c r="A36" s="5" t="s">
        <v>33</v>
      </c>
      <c r="B36" s="5" t="s">
        <v>12</v>
      </c>
      <c r="C36" s="5">
        <v>13</v>
      </c>
      <c r="D36" s="5">
        <v>1665</v>
      </c>
      <c r="E36" s="6" t="s">
        <v>37</v>
      </c>
    </row>
    <row r="37" spans="1:5">
      <c r="A37" s="5" t="s">
        <v>33</v>
      </c>
      <c r="B37" s="5" t="s">
        <v>14</v>
      </c>
      <c r="C37" s="5">
        <v>15</v>
      </c>
      <c r="D37" s="5">
        <v>1960</v>
      </c>
      <c r="E37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Category Targets</vt:lpstr>
      <vt:lpstr>Category Summary</vt:lpstr>
      <vt:lpstr>monthly_category_revenue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Bagga</dc:creator>
  <cp:lastModifiedBy>Juhi Bagga</cp:lastModifiedBy>
  <dcterms:created xsi:type="dcterms:W3CDTF">2026-09-08T03:00:51Z</dcterms:created>
  <dcterms:modified xsi:type="dcterms:W3CDTF">2026-09-15T09:41:00Z</dcterms:modified>
</cp:coreProperties>
</file>